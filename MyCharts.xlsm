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us\Desktop\python\bouamaine\"/>
    </mc:Choice>
  </mc:AlternateContent>
  <bookViews>
    <workbookView xWindow="0" yWindow="0" windowWidth="21570" windowHeight="8085"/>
  </bookViews>
  <sheets>
    <sheet name="Feuil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2" i="1" l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J2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" i="1"/>
  <c r="I22" i="1" l="1"/>
  <c r="H21" i="1"/>
  <c r="G21" i="1"/>
  <c r="H20" i="1"/>
  <c r="G20" i="1"/>
  <c r="H19" i="1"/>
  <c r="G19" i="1"/>
  <c r="H18" i="1"/>
  <c r="G18" i="1"/>
  <c r="H17" i="1"/>
  <c r="G17" i="1"/>
  <c r="H16" i="1"/>
  <c r="G16" i="1"/>
  <c r="H15" i="1"/>
  <c r="G15" i="1"/>
  <c r="H14" i="1"/>
  <c r="G14" i="1"/>
  <c r="H13" i="1"/>
  <c r="G13" i="1"/>
  <c r="H12" i="1"/>
  <c r="G12" i="1"/>
  <c r="H11" i="1"/>
  <c r="G11" i="1"/>
  <c r="H10" i="1"/>
  <c r="G10" i="1"/>
  <c r="H9" i="1"/>
  <c r="G9" i="1"/>
  <c r="H8" i="1"/>
  <c r="G8" i="1"/>
  <c r="H7" i="1"/>
  <c r="G7" i="1"/>
  <c r="H6" i="1"/>
  <c r="G6" i="1"/>
  <c r="H5" i="1"/>
  <c r="G5" i="1"/>
  <c r="H4" i="1"/>
  <c r="G4" i="1"/>
  <c r="H3" i="1"/>
  <c r="G3" i="1"/>
  <c r="H2" i="1"/>
  <c r="G2" i="1"/>
  <c r="G22" i="1" l="1"/>
  <c r="H22" i="1"/>
</calcChain>
</file>

<file path=xl/sharedStrings.xml><?xml version="1.0" encoding="utf-8"?>
<sst xmlns="http://schemas.openxmlformats.org/spreadsheetml/2006/main" count="23" uniqueCount="23">
  <si>
    <t>Echantillon</t>
  </si>
  <si>
    <t>prise1</t>
  </si>
  <si>
    <t>prise2</t>
  </si>
  <si>
    <t>prise3</t>
  </si>
  <si>
    <t>prise4</t>
  </si>
  <si>
    <t>prise5</t>
  </si>
  <si>
    <t>Moyennes</t>
  </si>
  <si>
    <t>Etendues</t>
  </si>
  <si>
    <t>A2=</t>
  </si>
  <si>
    <t>D3=</t>
  </si>
  <si>
    <t>D4=</t>
  </si>
  <si>
    <t>B3=</t>
  </si>
  <si>
    <t>LICx</t>
  </si>
  <si>
    <t>LSCx</t>
  </si>
  <si>
    <t>LIS</t>
  </si>
  <si>
    <t>LSS</t>
  </si>
  <si>
    <t>B4=</t>
  </si>
  <si>
    <t>A3=</t>
  </si>
  <si>
    <t>Moyenne</t>
  </si>
  <si>
    <t>Ecart type</t>
  </si>
  <si>
    <t>LICs</t>
  </si>
  <si>
    <t xml:space="preserve">   et</t>
  </si>
  <si>
    <t>LSCs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</si>
</sst>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 i="1" u="sng"/>
              <a:t>Carte de controle</a:t>
            </a:r>
            <a:r>
              <a:rPr lang="fr-FR" b="1" i="1" u="sng" baseline="0"/>
              <a:t> de moyenne</a:t>
            </a:r>
            <a:endParaRPr lang="fr-FR" b="1" i="1" u="sng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Feuil1!$G$1</c:f>
              <c:strCache>
                <c:ptCount val="1"/>
                <c:pt idx="0">
                  <c:v>Moyennes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Feuil1!$G$2:$G$21</c:f>
              <c:numCache>
                <c:formatCode>General</c:formatCode>
                <c:ptCount val="20"/>
                <c:pt idx="0">
                  <c:v>82.8</c:v>
                </c:pt>
                <c:pt idx="1">
                  <c:v>82.8</c:v>
                </c:pt>
                <c:pt idx="2">
                  <c:v>86.2</c:v>
                </c:pt>
                <c:pt idx="3">
                  <c:v>85</c:v>
                </c:pt>
                <c:pt idx="4">
                  <c:v>86</c:v>
                </c:pt>
                <c:pt idx="5">
                  <c:v>81.400000000000006</c:v>
                </c:pt>
                <c:pt idx="6">
                  <c:v>84.8</c:v>
                </c:pt>
                <c:pt idx="7">
                  <c:v>85.8</c:v>
                </c:pt>
                <c:pt idx="8">
                  <c:v>81.400000000000006</c:v>
                </c:pt>
                <c:pt idx="9">
                  <c:v>84.4</c:v>
                </c:pt>
                <c:pt idx="10">
                  <c:v>84</c:v>
                </c:pt>
                <c:pt idx="11">
                  <c:v>82</c:v>
                </c:pt>
                <c:pt idx="12">
                  <c:v>84.4</c:v>
                </c:pt>
                <c:pt idx="13">
                  <c:v>85.2</c:v>
                </c:pt>
                <c:pt idx="14">
                  <c:v>84.8</c:v>
                </c:pt>
                <c:pt idx="15">
                  <c:v>83.8</c:v>
                </c:pt>
                <c:pt idx="16">
                  <c:v>86</c:v>
                </c:pt>
                <c:pt idx="17">
                  <c:v>83.8</c:v>
                </c:pt>
                <c:pt idx="18">
                  <c:v>81.599999999999994</c:v>
                </c:pt>
                <c:pt idx="19">
                  <c:v>85.4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F3-4D2E-A601-0C7748BADEC9}"/>
            </c:ext>
          </c:extLst>
        </c:ser>
        <c:ser>
          <c:idx val="1"/>
          <c:order val="1"/>
          <c:tx>
            <c:strRef>
              <c:f>Feuil1!$J$1</c:f>
              <c:strCache>
                <c:ptCount val="1"/>
                <c:pt idx="0">
                  <c:v>LICx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Feuil1!$J$2:$J$21</c:f>
              <c:numCache>
                <c:formatCode>General</c:formatCode>
                <c:ptCount val="20"/>
                <c:pt idx="0">
                  <c:v>81.108450000000005</c:v>
                </c:pt>
                <c:pt idx="1">
                  <c:v>81.108450000000005</c:v>
                </c:pt>
                <c:pt idx="2">
                  <c:v>81.108450000000005</c:v>
                </c:pt>
                <c:pt idx="3">
                  <c:v>81.108450000000005</c:v>
                </c:pt>
                <c:pt idx="4">
                  <c:v>81.108450000000005</c:v>
                </c:pt>
                <c:pt idx="5">
                  <c:v>81.108450000000005</c:v>
                </c:pt>
                <c:pt idx="6">
                  <c:v>81.108450000000005</c:v>
                </c:pt>
                <c:pt idx="7">
                  <c:v>81.108450000000005</c:v>
                </c:pt>
                <c:pt idx="8">
                  <c:v>81.108450000000005</c:v>
                </c:pt>
                <c:pt idx="9">
                  <c:v>81.108450000000005</c:v>
                </c:pt>
                <c:pt idx="10">
                  <c:v>81.108450000000005</c:v>
                </c:pt>
                <c:pt idx="11">
                  <c:v>81.108450000000005</c:v>
                </c:pt>
                <c:pt idx="12">
                  <c:v>81.108450000000005</c:v>
                </c:pt>
                <c:pt idx="13">
                  <c:v>81.108450000000005</c:v>
                </c:pt>
                <c:pt idx="14">
                  <c:v>81.108450000000005</c:v>
                </c:pt>
                <c:pt idx="15">
                  <c:v>81.108450000000005</c:v>
                </c:pt>
                <c:pt idx="16">
                  <c:v>81.108450000000005</c:v>
                </c:pt>
                <c:pt idx="17">
                  <c:v>81.108450000000005</c:v>
                </c:pt>
                <c:pt idx="18">
                  <c:v>81.108450000000005</c:v>
                </c:pt>
                <c:pt idx="19">
                  <c:v>81.108450000000005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F3-4D2E-A601-0C7748BADEC9}"/>
            </c:ext>
          </c:extLst>
        </c:ser>
        <c:ser>
          <c:idx val="2"/>
          <c:order val="2"/>
          <c:tx>
            <c:strRef>
              <c:f>Feuil1!$K$1</c:f>
              <c:strCache>
                <c:ptCount val="1"/>
                <c:pt idx="0">
                  <c:v>LSCx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Feuil1!$K$2:$K$21</c:f>
              <c:numCache>
                <c:formatCode>General</c:formatCode>
                <c:ptCount val="20"/>
                <c:pt idx="0">
                  <c:v>87.051549999999992</c:v>
                </c:pt>
                <c:pt idx="1">
                  <c:v>87.051549999999992</c:v>
                </c:pt>
                <c:pt idx="2">
                  <c:v>87.051549999999992</c:v>
                </c:pt>
                <c:pt idx="3">
                  <c:v>87.051549999999992</c:v>
                </c:pt>
                <c:pt idx="4">
                  <c:v>87.051549999999992</c:v>
                </c:pt>
                <c:pt idx="5">
                  <c:v>87.051549999999992</c:v>
                </c:pt>
                <c:pt idx="6">
                  <c:v>87.051549999999992</c:v>
                </c:pt>
                <c:pt idx="7">
                  <c:v>87.051549999999992</c:v>
                </c:pt>
                <c:pt idx="8">
                  <c:v>87.051549999999992</c:v>
                </c:pt>
                <c:pt idx="9">
                  <c:v>87.051549999999992</c:v>
                </c:pt>
                <c:pt idx="10">
                  <c:v>87.051549999999992</c:v>
                </c:pt>
                <c:pt idx="11">
                  <c:v>87.051549999999992</c:v>
                </c:pt>
                <c:pt idx="12">
                  <c:v>87.051549999999992</c:v>
                </c:pt>
                <c:pt idx="13">
                  <c:v>87.051549999999992</c:v>
                </c:pt>
                <c:pt idx="14">
                  <c:v>87.051549999999992</c:v>
                </c:pt>
                <c:pt idx="15">
                  <c:v>87.051549999999992</c:v>
                </c:pt>
                <c:pt idx="16">
                  <c:v>87.051549999999992</c:v>
                </c:pt>
                <c:pt idx="17">
                  <c:v>87.051549999999992</c:v>
                </c:pt>
                <c:pt idx="18">
                  <c:v>87.051549999999992</c:v>
                </c:pt>
                <c:pt idx="19">
                  <c:v>87.051549999999992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F3-4D2E-A601-0C7748BAD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823455"/>
        <c:axId val="1553829695"/>
      </c:lineChart>
      <c:catAx>
        <c:axId val="1553823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d'échantillon</a:t>
                </a:r>
                <a:endParaRPr lang="fr-F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3829695"/>
        <c:crosses val="autoZero"/>
        <c:auto val="1"/>
        <c:lblAlgn val="ctr"/>
        <c:lblOffset val="100"/>
        <c:noMultiLvlLbl val="0"/>
      </c:catAx>
      <c:valAx>
        <c:axId val="155382969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diamètre</a:t>
                </a:r>
                <a:r>
                  <a:rPr lang="fr-FR" baseline="0"/>
                  <a:t> moyen en (mm)</a:t>
                </a:r>
                <a:endParaRPr lang="fr-F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3823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 i="1" u="sng"/>
              <a:t>Carte</a:t>
            </a:r>
            <a:r>
              <a:rPr lang="fr-FR" b="1" i="1" u="sng" baseline="0"/>
              <a:t> de controle de l'étendue</a:t>
            </a:r>
            <a:endParaRPr lang="fr-FR" b="1" i="1" u="sng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Feuil1!$H$1</c:f>
              <c:strCache>
                <c:ptCount val="1"/>
                <c:pt idx="0">
                  <c:v>Etendues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Feuil1!$H$2:$H$21</c:f>
              <c:numCache>
                <c:formatCode>General</c:formatCode>
                <c:ptCount val="20"/>
                <c:pt idx="0">
                  <c:v>5</c:v>
                </c:pt>
                <c:pt idx="1">
                  <c:v>4</c:v>
                </c:pt>
                <c:pt idx="2">
                  <c:v>6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3</c:v>
                </c:pt>
                <c:pt idx="13">
                  <c:v>5</c:v>
                </c:pt>
                <c:pt idx="14">
                  <c:v>8</c:v>
                </c:pt>
                <c:pt idx="15">
                  <c:v>3</c:v>
                </c:pt>
                <c:pt idx="16">
                  <c:v>7</c:v>
                </c:pt>
                <c:pt idx="17">
                  <c:v>4</c:v>
                </c:pt>
                <c:pt idx="18">
                  <c:v>5</c:v>
                </c:pt>
                <c:pt idx="1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7B-4664-8F67-549C4EAAD3D7}"/>
            </c:ext>
          </c:extLst>
        </c:ser>
        <c:ser>
          <c:idx val="1"/>
          <c:order val="1"/>
          <c:tx>
            <c:strRef>
              <c:f>Feuil1!$L$1</c:f>
              <c:strCache>
                <c:ptCount val="1"/>
                <c:pt idx="0">
                  <c:v>LIS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Feuil1!$L$2:$L$21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7B-4664-8F67-549C4EAAD3D7}"/>
            </c:ext>
          </c:extLst>
        </c:ser>
        <c:ser>
          <c:idx val="2"/>
          <c:order val="2"/>
          <c:tx>
            <c:strRef>
              <c:f>Feuil1!$M$1</c:f>
              <c:strCache>
                <c:ptCount val="1"/>
                <c:pt idx="0">
                  <c:v>LSS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Feuil1!$M$2:$M$21</c:f>
              <c:numCache>
                <c:formatCode>General</c:formatCode>
                <c:ptCount val="20"/>
                <c:pt idx="0">
                  <c:v>11.021000000000001</c:v>
                </c:pt>
                <c:pt idx="1">
                  <c:v>11.021000000000001</c:v>
                </c:pt>
                <c:pt idx="2">
                  <c:v>11.021000000000001</c:v>
                </c:pt>
                <c:pt idx="3">
                  <c:v>11.021000000000001</c:v>
                </c:pt>
                <c:pt idx="4">
                  <c:v>11.021000000000001</c:v>
                </c:pt>
                <c:pt idx="5">
                  <c:v>11.021000000000001</c:v>
                </c:pt>
                <c:pt idx="6">
                  <c:v>11.021000000000001</c:v>
                </c:pt>
                <c:pt idx="7">
                  <c:v>11.021000000000001</c:v>
                </c:pt>
                <c:pt idx="8">
                  <c:v>11.021000000000001</c:v>
                </c:pt>
                <c:pt idx="9">
                  <c:v>11.021000000000001</c:v>
                </c:pt>
                <c:pt idx="10">
                  <c:v>11.021000000000001</c:v>
                </c:pt>
                <c:pt idx="11">
                  <c:v>11.021000000000001</c:v>
                </c:pt>
                <c:pt idx="12">
                  <c:v>11.021000000000001</c:v>
                </c:pt>
                <c:pt idx="13">
                  <c:v>11.021000000000001</c:v>
                </c:pt>
                <c:pt idx="14">
                  <c:v>11.021000000000001</c:v>
                </c:pt>
                <c:pt idx="15">
                  <c:v>11.021000000000001</c:v>
                </c:pt>
                <c:pt idx="16">
                  <c:v>11.021000000000001</c:v>
                </c:pt>
                <c:pt idx="17">
                  <c:v>11.021000000000001</c:v>
                </c:pt>
                <c:pt idx="18">
                  <c:v>11.021000000000001</c:v>
                </c:pt>
                <c:pt idx="19">
                  <c:v>11.021000000000001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7B-4664-8F67-549C4EAAD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841343"/>
        <c:axId val="1553817215"/>
      </c:lineChart>
      <c:catAx>
        <c:axId val="15538413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d"échantillon</a:t>
                </a:r>
                <a:endParaRPr lang="fr-F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3817215"/>
        <c:crosses val="autoZero"/>
        <c:auto val="1"/>
        <c:lblAlgn val="ctr"/>
        <c:lblOffset val="100"/>
        <c:noMultiLvlLbl val="0"/>
      </c:catAx>
      <c:valAx>
        <c:axId val="155381721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Etendue</a:t>
                </a:r>
                <a:r>
                  <a:rPr lang="fr-FR" baseline="0"/>
                  <a:t>s en (mm)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3841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 i="1" u="sng"/>
              <a:t>Carte</a:t>
            </a:r>
            <a:r>
              <a:rPr lang="fr-FR" b="1" i="1" u="sng" baseline="0"/>
              <a:t> de controle de l'écart type</a:t>
            </a:r>
            <a:endParaRPr lang="fr-FR" b="1" i="1" u="sng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Feuil1!$I$1</c:f>
              <c:strCache>
                <c:ptCount val="1"/>
                <c:pt idx="0">
                  <c:v>Ecart type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Feuil1!$I$2:$I$21</c:f>
              <c:numCache>
                <c:formatCode>General</c:formatCode>
                <c:ptCount val="20"/>
                <c:pt idx="0">
                  <c:v>1.9235384061671343</c:v>
                </c:pt>
                <c:pt idx="1">
                  <c:v>1.4832396974191324</c:v>
                </c:pt>
                <c:pt idx="2">
                  <c:v>2.3874672772626644</c:v>
                </c:pt>
                <c:pt idx="3">
                  <c:v>1.2247448713915889</c:v>
                </c:pt>
                <c:pt idx="4">
                  <c:v>2.4494897427831779</c:v>
                </c:pt>
                <c:pt idx="5">
                  <c:v>2.7018512172212592</c:v>
                </c:pt>
                <c:pt idx="6">
                  <c:v>2.5884358211089573</c:v>
                </c:pt>
                <c:pt idx="7">
                  <c:v>1.6431676725154982</c:v>
                </c:pt>
                <c:pt idx="8">
                  <c:v>1.9493588689617924</c:v>
                </c:pt>
                <c:pt idx="9">
                  <c:v>1.1401754250991381</c:v>
                </c:pt>
                <c:pt idx="10">
                  <c:v>2.7386127875258306</c:v>
                </c:pt>
                <c:pt idx="11">
                  <c:v>3.4641016151377544</c:v>
                </c:pt>
                <c:pt idx="12">
                  <c:v>1.3416407864998738</c:v>
                </c:pt>
                <c:pt idx="13">
                  <c:v>1.9235384061671343</c:v>
                </c:pt>
                <c:pt idx="14">
                  <c:v>3.4205262752974139</c:v>
                </c:pt>
                <c:pt idx="15">
                  <c:v>1.3038404810405297</c:v>
                </c:pt>
                <c:pt idx="16">
                  <c:v>2.7386127875258306</c:v>
                </c:pt>
                <c:pt idx="17">
                  <c:v>1.4832396974191324</c:v>
                </c:pt>
                <c:pt idx="18">
                  <c:v>2.0736441353327719</c:v>
                </c:pt>
                <c:pt idx="19">
                  <c:v>1.1401754250991381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C-4444-8E4B-C86589EE554C}"/>
            </c:ext>
          </c:extLst>
        </c:ser>
        <c:ser>
          <c:idx val="1"/>
          <c:order val="1"/>
          <c:tx>
            <c:strRef>
              <c:f>Feuil1!$N$1</c:f>
              <c:strCache>
                <c:ptCount val="1"/>
                <c:pt idx="0">
                  <c:v>LICs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Feuil1!$N$2:$N$21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0C-4444-8E4B-C86589EE554C}"/>
            </c:ext>
          </c:extLst>
        </c:ser>
        <c:ser>
          <c:idx val="2"/>
          <c:order val="2"/>
          <c:tx>
            <c:strRef>
              <c:f>Feuil1!$O$1</c:f>
              <c:strCache>
                <c:ptCount val="1"/>
                <c:pt idx="0">
                  <c:v>LSCs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Feuil1!$O$2:$O$21</c:f>
              <c:numCache>
                <c:formatCode>General</c:formatCode>
                <c:ptCount val="20"/>
                <c:pt idx="0">
                  <c:v>4.2949214759141174</c:v>
                </c:pt>
                <c:pt idx="1">
                  <c:v>4.2949214759141174</c:v>
                </c:pt>
                <c:pt idx="2">
                  <c:v>4.2949214759141174</c:v>
                </c:pt>
                <c:pt idx="3">
                  <c:v>4.2949214759141174</c:v>
                </c:pt>
                <c:pt idx="4">
                  <c:v>4.2949214759141174</c:v>
                </c:pt>
                <c:pt idx="5">
                  <c:v>4.2949214759141174</c:v>
                </c:pt>
                <c:pt idx="6">
                  <c:v>4.2949214759141174</c:v>
                </c:pt>
                <c:pt idx="7">
                  <c:v>4.2949214759141174</c:v>
                </c:pt>
                <c:pt idx="8">
                  <c:v>4.2949214759141174</c:v>
                </c:pt>
                <c:pt idx="9">
                  <c:v>4.2949214759141174</c:v>
                </c:pt>
                <c:pt idx="10">
                  <c:v>4.2949214759141174</c:v>
                </c:pt>
                <c:pt idx="11">
                  <c:v>4.2949214759141174</c:v>
                </c:pt>
                <c:pt idx="12">
                  <c:v>4.2949214759141174</c:v>
                </c:pt>
                <c:pt idx="13">
                  <c:v>4.2949214759141174</c:v>
                </c:pt>
                <c:pt idx="14">
                  <c:v>4.2949214759141174</c:v>
                </c:pt>
                <c:pt idx="15">
                  <c:v>4.2949214759141174</c:v>
                </c:pt>
                <c:pt idx="16">
                  <c:v>4.2949214759141174</c:v>
                </c:pt>
                <c:pt idx="17">
                  <c:v>4.2949214759141174</c:v>
                </c:pt>
                <c:pt idx="18">
                  <c:v>4.2949214759141174</c:v>
                </c:pt>
                <c:pt idx="19">
                  <c:v>4.2949214759141174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0C-4444-8E4B-C86589EE5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832191"/>
        <c:axId val="1553821375"/>
      </c:lineChart>
      <c:catAx>
        <c:axId val="15538321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d'échantillon</a:t>
                </a:r>
                <a:endParaRPr lang="fr-F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3821375"/>
        <c:crosses val="autoZero"/>
        <c:auto val="1"/>
        <c:lblAlgn val="ctr"/>
        <c:lblOffset val="100"/>
        <c:noMultiLvlLbl val="0"/>
      </c:catAx>
      <c:valAx>
        <c:axId val="155382137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Ecart</a:t>
                </a:r>
                <a:r>
                  <a:rPr lang="fr-FR" baseline="0"/>
                  <a:t> type</a:t>
                </a:r>
                <a:endParaRPr lang="fr-F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3832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381000</xdr:colOff>
      <xdr:row>6</xdr:row>
      <xdr:rowOff>134471</xdr:rowOff>
    </xdr:from>
    <xdr:to>
      <xdr:col>19</xdr:col>
      <xdr:colOff>235324</xdr:colOff>
      <xdr:row>16</xdr:row>
      <xdr:rowOff>44823</xdr:rowOff>
    </xdr:to>
    <xdr:sp macro="" textlink="">
      <xdr:nvSpPr>
        <xdr:cNvPr id="3" name="ZoneTexte 2"/>
        <xdr:cNvSpPr txBox="1"/>
      </xdr:nvSpPr>
      <xdr:spPr>
        <a:xfrm>
          <a:off x="11710147" y="1311089"/>
          <a:ext cx="2902324" cy="199464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 baseline="0">
            <a:solidFill>
              <a:srgbClr val="FF0000"/>
            </a:solidFill>
          </a:endParaRPr>
        </a:p>
        <a:p>
          <a:r>
            <a:rPr lang="fr-FR" sz="1100" baseline="0">
              <a:solidFill>
                <a:srgbClr val="FF0000"/>
              </a:solidFill>
            </a:rPr>
            <a:t>▪LICx</a:t>
          </a:r>
          <a:r>
            <a:rPr lang="fr-FR" sz="1100" baseline="0"/>
            <a:t>=Moyenne des moyennes-A2*moyenne étendues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▪LSCx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=Moyenne des moyennes +A2*moyenne étendues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▪LIS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=D3*moyenne étendues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▪LSS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=D4*moyenne étendues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▪LICs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=B3*moyenne des écarts type</a:t>
          </a:r>
          <a:endParaRPr lang="fr-FR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▪LSCs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=B4*moyenne des écarts type</a:t>
          </a:r>
          <a:endParaRPr lang="fr-FR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  <a:p>
          <a:endParaRPr lang="fr-FR" sz="1100"/>
        </a:p>
      </xdr:txBody>
    </xdr:sp>
    <xdr:clientData/>
  </xdr:twoCellAnchor>
  <xdr:twoCellAnchor>
    <xdr:from>
      <xdr:col>19</xdr:col>
      <xdr:colOff>649942</xdr:colOff>
      <xdr:row>8</xdr:row>
      <xdr:rowOff>112058</xdr:rowOff>
    </xdr:from>
    <xdr:to>
      <xdr:col>21</xdr:col>
      <xdr:colOff>190501</xdr:colOff>
      <xdr:row>13</xdr:row>
      <xdr:rowOff>156881</xdr:rowOff>
    </xdr:to>
    <xdr:sp macro="" textlink="">
      <xdr:nvSpPr>
        <xdr:cNvPr id="5" name="ZoneTexte 4"/>
        <xdr:cNvSpPr txBox="1"/>
      </xdr:nvSpPr>
      <xdr:spPr>
        <a:xfrm>
          <a:off x="15027089" y="1613646"/>
          <a:ext cx="1064559" cy="997323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="1" i="1" u="sng"/>
            <a:t>Les coefficients</a:t>
          </a:r>
          <a:r>
            <a:rPr lang="fr-FR" sz="1200" b="1" i="1" u="sng" baseline="0"/>
            <a:t> de la table de carte pour      n=5:</a:t>
          </a:r>
          <a:endParaRPr lang="fr-FR" sz="1200" b="1" i="1" u="sng"/>
        </a:p>
      </xdr:txBody>
    </xdr:sp>
    <xdr:clientData/>
  </xdr:twoCellAnchor>
  <xdr:twoCellAnchor>
    <xdr:from>
      <xdr:col>21</xdr:col>
      <xdr:colOff>268941</xdr:colOff>
      <xdr:row>8</xdr:row>
      <xdr:rowOff>112059</xdr:rowOff>
    </xdr:from>
    <xdr:to>
      <xdr:col>21</xdr:col>
      <xdr:colOff>414619</xdr:colOff>
      <xdr:row>13</xdr:row>
      <xdr:rowOff>123265</xdr:rowOff>
    </xdr:to>
    <xdr:sp macro="" textlink="">
      <xdr:nvSpPr>
        <xdr:cNvPr id="10" name="Parenthèse ouvrante 9"/>
        <xdr:cNvSpPr/>
      </xdr:nvSpPr>
      <xdr:spPr>
        <a:xfrm>
          <a:off x="16170088" y="1613647"/>
          <a:ext cx="145678" cy="963706"/>
        </a:xfrm>
        <a:prstGeom prst="leftBracket">
          <a:avLst/>
        </a:prstGeom>
        <a:ln>
          <a:solidFill>
            <a:sysClr val="windowText" lastClr="000000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168088</xdr:colOff>
      <xdr:row>25</xdr:row>
      <xdr:rowOff>100855</xdr:rowOff>
    </xdr:from>
    <xdr:to>
      <xdr:col>7</xdr:col>
      <xdr:colOff>5603</xdr:colOff>
      <xdr:row>42</xdr:row>
      <xdr:rowOff>1</xdr:rowOff>
    </xdr:to>
    <xdr:graphicFrame macro="">
      <xdr:nvGraphicFramePr>
        <xdr:cNvPr id="13" name="Graphique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504265</xdr:colOff>
      <xdr:row>25</xdr:row>
      <xdr:rowOff>145678</xdr:rowOff>
    </xdr:from>
    <xdr:to>
      <xdr:col>14</xdr:col>
      <xdr:colOff>414618</xdr:colOff>
      <xdr:row>42</xdr:row>
      <xdr:rowOff>49306</xdr:rowOff>
    </xdr:to>
    <xdr:graphicFrame macro="">
      <xdr:nvGraphicFramePr>
        <xdr:cNvPr id="14" name="Graphique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313766</xdr:colOff>
      <xdr:row>25</xdr:row>
      <xdr:rowOff>145677</xdr:rowOff>
    </xdr:from>
    <xdr:to>
      <xdr:col>21</xdr:col>
      <xdr:colOff>498662</xdr:colOff>
      <xdr:row>42</xdr:row>
      <xdr:rowOff>15689</xdr:rowOff>
    </xdr:to>
    <xdr:graphicFrame macro="">
      <xdr:nvGraphicFramePr>
        <xdr:cNvPr id="15" name="Graphique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504265</xdr:colOff>
      <xdr:row>2</xdr:row>
      <xdr:rowOff>168088</xdr:rowOff>
    </xdr:from>
    <xdr:to>
      <xdr:col>21</xdr:col>
      <xdr:colOff>750794</xdr:colOff>
      <xdr:row>5</xdr:row>
      <xdr:rowOff>100853</xdr:rowOff>
    </xdr:to>
    <xdr:sp macro="" textlink="">
      <xdr:nvSpPr>
        <xdr:cNvPr id="18" name="ZoneTexte 17"/>
        <xdr:cNvSpPr txBox="1"/>
      </xdr:nvSpPr>
      <xdr:spPr>
        <a:xfrm>
          <a:off x="12595412" y="526676"/>
          <a:ext cx="4056529" cy="504265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 b="1" i="1" u="sng">
              <a:solidFill>
                <a:schemeClr val="accent1">
                  <a:lumMod val="50000"/>
                </a:schemeClr>
              </a:solidFill>
              <a:effectLst>
                <a:reflection blurRad="6350" stA="53000" endA="300" endPos="35500" dir="5400000" sy="-90000" algn="bl"/>
              </a:effectLst>
              <a:latin typeface="+mn-lt"/>
              <a:ea typeface="+mn-ea"/>
              <a:cs typeface="+mn-cs"/>
            </a:rPr>
            <a:t>Les</a:t>
          </a:r>
          <a:r>
            <a:rPr lang="fr-FR" sz="2000" b="1" i="1" u="sng" baseline="0">
              <a:solidFill>
                <a:schemeClr val="accent1">
                  <a:lumMod val="50000"/>
                </a:schemeClr>
              </a:solidFill>
              <a:effectLst>
                <a:reflection blurRad="6350" stA="53000" endA="300" endPos="35500" dir="5400000" sy="-90000" algn="bl"/>
              </a:effectLst>
              <a:latin typeface="+mn-lt"/>
              <a:ea typeface="+mn-ea"/>
              <a:cs typeface="+mn-cs"/>
            </a:rPr>
            <a:t> informations qu'on doit avoir :</a:t>
          </a:r>
          <a:endParaRPr lang="fr-FR" sz="2000" b="1" i="1" u="sng">
            <a:solidFill>
              <a:schemeClr val="accent1">
                <a:lumMod val="50000"/>
              </a:schemeClr>
            </a:solidFill>
            <a:effectLst/>
          </a:endParaRPr>
        </a:p>
        <a:p>
          <a:pPr algn="ctr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9"/>
  <sheetViews>
    <sheetView tabSelected="1" topLeftCell="H1" zoomScale="85" zoomScaleNormal="85" workbookViewId="0">
      <selection activeCell="M2" sqref="M2"/>
    </sheetView>
  </sheetViews>
  <sheetFormatPr baseColWidth="10" defaultRowHeight="15" x14ac:dyDescent="0.25"/>
  <cols>
    <col min="8" max="8" width="9.85546875" customWidth="1"/>
    <col min="9" max="9" width="11.42578125" customWidth="1"/>
    <col min="22" max="22" width="11.42578125" style="1"/>
    <col min="23" max="23" width="11.42578125" style="2"/>
  </cols>
  <sheetData>
    <row r="1" spans="1:23" ht="13.5" customHeight="1" x14ac:dyDescent="0.25">
      <c r="A1" t="s">
        <v>0</v>
      </c>
      <c r="B1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19</v>
      </c>
      <c r="J1" s="5" t="s">
        <v>12</v>
      </c>
      <c r="K1" s="5" t="s">
        <v>13</v>
      </c>
      <c r="L1" s="5" t="s">
        <v>14</v>
      </c>
      <c r="M1" s="5" t="s">
        <v>15</v>
      </c>
      <c r="N1" s="5" t="s">
        <v>20</v>
      </c>
      <c r="O1" s="5" t="s">
        <v>22</v>
      </c>
    </row>
    <row r="2" spans="1:23" ht="15.75" x14ac:dyDescent="0.25">
      <c r="A2">
        <v>1</v>
      </c>
      <c r="B2">
        <v>80</v>
      </c>
      <c r="C2" s="5">
        <v>85</v>
      </c>
      <c r="D2" s="5">
        <v>84</v>
      </c>
      <c r="E2" s="5">
        <v>83</v>
      </c>
      <c r="F2" s="5">
        <v>82</v>
      </c>
      <c r="G2" s="5">
        <f>AVERAGE(B2:F2)</f>
        <v>82.8</v>
      </c>
      <c r="H2" s="5">
        <f>MAX(B2:F2)-MIN(B2:F2)</f>
        <v>5</v>
      </c>
      <c r="I2" s="5">
        <f>STDEV(B2:F2)</f>
        <v>1.9235384061671343</v>
      </c>
      <c r="J2" s="5">
        <f>G22-$W9*H22</f>
        <v>81.108450000000005</v>
      </c>
      <c r="K2" s="5">
        <f>G22+$W9*H22</f>
        <v>87.051549999999992</v>
      </c>
      <c r="L2" s="5">
        <f>W11*H22</f>
        <v>0</v>
      </c>
      <c r="M2" s="5">
        <f>W12*H22</f>
        <v>11.021000000000001</v>
      </c>
      <c r="N2" s="5">
        <f>W13*I22</f>
        <v>0</v>
      </c>
      <c r="O2" s="5">
        <f>W14*I22</f>
        <v>4.2949214759141174</v>
      </c>
    </row>
    <row r="3" spans="1:23" ht="15.75" x14ac:dyDescent="0.25">
      <c r="A3">
        <v>2</v>
      </c>
      <c r="B3">
        <v>85</v>
      </c>
      <c r="C3" s="5">
        <v>83</v>
      </c>
      <c r="D3" s="5">
        <v>81</v>
      </c>
      <c r="E3" s="5">
        <v>82</v>
      </c>
      <c r="F3" s="5">
        <v>83</v>
      </c>
      <c r="G3" s="5">
        <f t="shared" ref="G3:G21" si="0">AVERAGE(B3:F3)</f>
        <v>82.8</v>
      </c>
      <c r="H3" s="5">
        <f t="shared" ref="H3:H21" si="1">MAX(B3:F3)-MIN(B3:F3)</f>
        <v>4</v>
      </c>
      <c r="I3" s="5">
        <f t="shared" ref="I3:I21" si="2">STDEV(B3:F3)</f>
        <v>1.4832396974191324</v>
      </c>
      <c r="J3" s="5">
        <f>G22-$W9*H22</f>
        <v>81.108450000000005</v>
      </c>
      <c r="K3" s="5">
        <f>G22+$W9*H22</f>
        <v>87.051549999999992</v>
      </c>
      <c r="L3" s="5">
        <f>W11*H22</f>
        <v>0</v>
      </c>
      <c r="M3" s="5">
        <f>W12*H22</f>
        <v>11.021000000000001</v>
      </c>
      <c r="N3" s="5">
        <f>W13*I22</f>
        <v>0</v>
      </c>
      <c r="O3" s="5">
        <f>W14*I22</f>
        <v>4.2949214759141174</v>
      </c>
    </row>
    <row r="4" spans="1:23" ht="15.75" x14ac:dyDescent="0.25">
      <c r="A4">
        <v>3</v>
      </c>
      <c r="B4">
        <v>87</v>
      </c>
      <c r="C4" s="5">
        <v>87</v>
      </c>
      <c r="D4" s="5">
        <v>87</v>
      </c>
      <c r="E4" s="5">
        <v>88</v>
      </c>
      <c r="F4" s="5">
        <v>82</v>
      </c>
      <c r="G4" s="5">
        <f t="shared" si="0"/>
        <v>86.2</v>
      </c>
      <c r="H4" s="5">
        <f t="shared" si="1"/>
        <v>6</v>
      </c>
      <c r="I4" s="5">
        <f t="shared" si="2"/>
        <v>2.3874672772626644</v>
      </c>
      <c r="J4" s="5">
        <f>G22-$W9*H22</f>
        <v>81.108450000000005</v>
      </c>
      <c r="K4" s="5">
        <f>G22+$W9*H22</f>
        <v>87.051549999999992</v>
      </c>
      <c r="L4" s="5">
        <f>W11*H22</f>
        <v>0</v>
      </c>
      <c r="M4" s="5">
        <f>W12*H22</f>
        <v>11.021000000000001</v>
      </c>
      <c r="N4" s="5">
        <f>W13*I22</f>
        <v>0</v>
      </c>
      <c r="O4" s="5">
        <f>W14*I22</f>
        <v>4.2949214759141174</v>
      </c>
    </row>
    <row r="5" spans="1:23" ht="15.75" x14ac:dyDescent="0.25">
      <c r="A5">
        <v>4</v>
      </c>
      <c r="B5">
        <v>84</v>
      </c>
      <c r="C5" s="5">
        <v>85</v>
      </c>
      <c r="D5" s="5">
        <v>84</v>
      </c>
      <c r="E5" s="5">
        <v>85</v>
      </c>
      <c r="F5" s="5">
        <v>87</v>
      </c>
      <c r="G5" s="5">
        <f t="shared" si="0"/>
        <v>85</v>
      </c>
      <c r="H5" s="5">
        <f t="shared" si="1"/>
        <v>3</v>
      </c>
      <c r="I5" s="5">
        <f t="shared" si="2"/>
        <v>1.2247448713915889</v>
      </c>
      <c r="J5" s="5">
        <f>G22-$W9*H22</f>
        <v>81.108450000000005</v>
      </c>
      <c r="K5" s="5">
        <f>G22+$W9*H22</f>
        <v>87.051549999999992</v>
      </c>
      <c r="L5" s="5">
        <f>W11*H22</f>
        <v>0</v>
      </c>
      <c r="M5" s="5">
        <f>W12*H22</f>
        <v>11.021000000000001</v>
      </c>
      <c r="N5" s="5">
        <f>W13*I22</f>
        <v>0</v>
      </c>
      <c r="O5" s="5">
        <f>W14*I22</f>
        <v>4.2949214759141174</v>
      </c>
      <c r="V5"/>
      <c r="W5"/>
    </row>
    <row r="6" spans="1:23" ht="15.75" x14ac:dyDescent="0.25">
      <c r="A6">
        <v>5</v>
      </c>
      <c r="B6">
        <v>87</v>
      </c>
      <c r="C6" s="5">
        <v>84</v>
      </c>
      <c r="D6" s="5">
        <v>89</v>
      </c>
      <c r="E6" s="5">
        <v>83</v>
      </c>
      <c r="F6" s="5">
        <v>87</v>
      </c>
      <c r="G6" s="5">
        <f t="shared" si="0"/>
        <v>86</v>
      </c>
      <c r="H6" s="5">
        <f t="shared" si="1"/>
        <v>6</v>
      </c>
      <c r="I6" s="5">
        <f t="shared" si="2"/>
        <v>2.4494897427831779</v>
      </c>
      <c r="J6" s="5">
        <f>G22-$W9*H22</f>
        <v>81.108450000000005</v>
      </c>
      <c r="K6" s="5">
        <f>G22+$W9*H22</f>
        <v>87.051549999999992</v>
      </c>
      <c r="L6" s="5">
        <f>W11*H22</f>
        <v>0</v>
      </c>
      <c r="M6" s="5">
        <f>W12*H22</f>
        <v>11.021000000000001</v>
      </c>
      <c r="N6" s="5">
        <f>W13*I22</f>
        <v>0</v>
      </c>
      <c r="O6" s="5">
        <f>W14*I22</f>
        <v>4.2949214759141174</v>
      </c>
      <c r="V6"/>
      <c r="W6"/>
    </row>
    <row r="7" spans="1:23" ht="15.75" x14ac:dyDescent="0.25">
      <c r="A7">
        <v>6</v>
      </c>
      <c r="B7">
        <v>85</v>
      </c>
      <c r="C7" s="5">
        <v>81</v>
      </c>
      <c r="D7" s="5">
        <v>78</v>
      </c>
      <c r="E7" s="5">
        <v>80</v>
      </c>
      <c r="F7" s="5">
        <v>83</v>
      </c>
      <c r="G7" s="5">
        <f t="shared" si="0"/>
        <v>81.400000000000006</v>
      </c>
      <c r="H7" s="5">
        <f t="shared" si="1"/>
        <v>7</v>
      </c>
      <c r="I7" s="5">
        <f t="shared" si="2"/>
        <v>2.7018512172212592</v>
      </c>
      <c r="J7" s="5">
        <f>G22-$W9*H22</f>
        <v>81.108450000000005</v>
      </c>
      <c r="K7" s="5">
        <f>G22+$W9*H22</f>
        <v>87.051549999999992</v>
      </c>
      <c r="L7" s="5">
        <f>W11*H22</f>
        <v>0</v>
      </c>
      <c r="M7" s="5">
        <f>W12*H22</f>
        <v>11.021000000000001</v>
      </c>
      <c r="N7" s="5">
        <f>W13*I22</f>
        <v>0</v>
      </c>
      <c r="O7" s="5">
        <f>W14*I22</f>
        <v>4.2949214759141174</v>
      </c>
      <c r="V7"/>
      <c r="W7"/>
    </row>
    <row r="8" spans="1:23" ht="15.75" x14ac:dyDescent="0.25">
      <c r="A8">
        <v>7</v>
      </c>
      <c r="B8">
        <v>85</v>
      </c>
      <c r="C8" s="5">
        <v>89</v>
      </c>
      <c r="D8" s="5">
        <v>84</v>
      </c>
      <c r="E8" s="5">
        <v>82</v>
      </c>
      <c r="F8" s="5">
        <v>84</v>
      </c>
      <c r="G8" s="5">
        <f t="shared" si="0"/>
        <v>84.8</v>
      </c>
      <c r="H8" s="5">
        <f t="shared" si="1"/>
        <v>7</v>
      </c>
      <c r="I8" s="5">
        <f t="shared" si="2"/>
        <v>2.5884358211089573</v>
      </c>
      <c r="J8" s="5">
        <f>G22-$W9*H22</f>
        <v>81.108450000000005</v>
      </c>
      <c r="K8" s="5">
        <f>G22+$W9*H22</f>
        <v>87.051549999999992</v>
      </c>
      <c r="L8" s="5">
        <f>W11*H22</f>
        <v>0</v>
      </c>
      <c r="M8" s="5">
        <f>W12*H22</f>
        <v>11.021000000000001</v>
      </c>
      <c r="N8" s="5">
        <f>W13*I22</f>
        <v>0</v>
      </c>
      <c r="O8" s="5">
        <f>W14*I22</f>
        <v>4.2949214759141174</v>
      </c>
      <c r="V8"/>
      <c r="W8"/>
    </row>
    <row r="9" spans="1:23" ht="15.75" x14ac:dyDescent="0.25">
      <c r="A9">
        <v>8</v>
      </c>
      <c r="B9">
        <v>84</v>
      </c>
      <c r="C9" s="5">
        <v>85</v>
      </c>
      <c r="D9" s="5">
        <v>85</v>
      </c>
      <c r="E9" s="5">
        <v>88</v>
      </c>
      <c r="F9" s="5">
        <v>87</v>
      </c>
      <c r="G9" s="5">
        <f t="shared" si="0"/>
        <v>85.8</v>
      </c>
      <c r="H9" s="5">
        <f t="shared" si="1"/>
        <v>4</v>
      </c>
      <c r="I9" s="5">
        <f t="shared" si="2"/>
        <v>1.6431676725154982</v>
      </c>
      <c r="J9" s="5">
        <f>G22-$W9*H22</f>
        <v>81.108450000000005</v>
      </c>
      <c r="K9" s="5">
        <f>G22+$W9*H22</f>
        <v>87.051549999999992</v>
      </c>
      <c r="L9" s="5">
        <f>W11*H22</f>
        <v>0</v>
      </c>
      <c r="M9" s="5">
        <f>W12*H22</f>
        <v>11.021000000000001</v>
      </c>
      <c r="N9" s="5">
        <f>W13*I22</f>
        <v>0</v>
      </c>
      <c r="O9" s="5">
        <f>W14*I22</f>
        <v>4.2949214759141174</v>
      </c>
      <c r="V9" s="1" t="s">
        <v>8</v>
      </c>
      <c r="W9" s="2">
        <v>0.57699999999999996</v>
      </c>
    </row>
    <row r="10" spans="1:23" ht="15.75" x14ac:dyDescent="0.25">
      <c r="A10">
        <v>9</v>
      </c>
      <c r="B10">
        <v>78</v>
      </c>
      <c r="C10" s="5">
        <v>82</v>
      </c>
      <c r="D10" s="5">
        <v>82</v>
      </c>
      <c r="E10" s="5">
        <v>82</v>
      </c>
      <c r="F10" s="5">
        <v>83</v>
      </c>
      <c r="G10" s="5">
        <f t="shared" si="0"/>
        <v>81.400000000000006</v>
      </c>
      <c r="H10" s="5">
        <f t="shared" si="1"/>
        <v>5</v>
      </c>
      <c r="I10" s="5">
        <f t="shared" si="2"/>
        <v>1.9493588689617924</v>
      </c>
      <c r="J10" s="5">
        <f>G22-$W9*H22</f>
        <v>81.108450000000005</v>
      </c>
      <c r="K10" s="5">
        <f>G22+$W9*H22</f>
        <v>87.051549999999992</v>
      </c>
      <c r="L10" s="5">
        <f>W11*H22</f>
        <v>0</v>
      </c>
      <c r="M10" s="5">
        <f>W12*H22</f>
        <v>11.021000000000001</v>
      </c>
      <c r="N10" s="5">
        <f>W13*I22</f>
        <v>0</v>
      </c>
      <c r="O10" s="5">
        <f>W14*I22</f>
        <v>4.2949214759141174</v>
      </c>
      <c r="V10" s="1" t="s">
        <v>17</v>
      </c>
      <c r="W10" s="2">
        <v>1.427</v>
      </c>
    </row>
    <row r="11" spans="1:23" ht="15.75" x14ac:dyDescent="0.25">
      <c r="A11">
        <v>10</v>
      </c>
      <c r="B11">
        <v>86</v>
      </c>
      <c r="C11" s="5">
        <v>84</v>
      </c>
      <c r="D11" s="5">
        <v>83</v>
      </c>
      <c r="E11" s="5">
        <v>84</v>
      </c>
      <c r="F11" s="5">
        <v>85</v>
      </c>
      <c r="G11" s="5">
        <f t="shared" si="0"/>
        <v>84.4</v>
      </c>
      <c r="H11" s="5">
        <f t="shared" si="1"/>
        <v>3</v>
      </c>
      <c r="I11" s="5">
        <f t="shared" si="2"/>
        <v>1.1401754250991381</v>
      </c>
      <c r="J11" s="5">
        <f>G22-$W9*H22</f>
        <v>81.108450000000005</v>
      </c>
      <c r="K11" s="5">
        <f>G22+$W9*H22</f>
        <v>87.051549999999992</v>
      </c>
      <c r="L11" s="5">
        <f>W11*H22</f>
        <v>0</v>
      </c>
      <c r="M11" s="5">
        <f>W12*H22</f>
        <v>11.021000000000001</v>
      </c>
      <c r="N11" s="5">
        <f>W13*I22</f>
        <v>0</v>
      </c>
      <c r="O11" s="5">
        <f>W14*I22</f>
        <v>4.2949214759141174</v>
      </c>
      <c r="V11" s="1" t="s">
        <v>9</v>
      </c>
      <c r="W11" s="2">
        <v>0</v>
      </c>
    </row>
    <row r="12" spans="1:23" ht="21" x14ac:dyDescent="0.35">
      <c r="A12">
        <v>11</v>
      </c>
      <c r="B12">
        <v>82</v>
      </c>
      <c r="C12" s="5">
        <v>88</v>
      </c>
      <c r="D12" s="5">
        <v>85</v>
      </c>
      <c r="E12" s="5">
        <v>81</v>
      </c>
      <c r="F12" s="5">
        <v>84</v>
      </c>
      <c r="G12" s="5">
        <f t="shared" si="0"/>
        <v>84</v>
      </c>
      <c r="H12" s="5">
        <f t="shared" si="1"/>
        <v>7</v>
      </c>
      <c r="I12" s="5">
        <f t="shared" si="2"/>
        <v>2.7386127875258306</v>
      </c>
      <c r="J12" s="5">
        <f>G22-$W9*H22</f>
        <v>81.108450000000005</v>
      </c>
      <c r="K12" s="5">
        <f>G22+$W9*H22</f>
        <v>87.051549999999992</v>
      </c>
      <c r="L12" s="5">
        <f>W11*H22</f>
        <v>0</v>
      </c>
      <c r="M12" s="5">
        <f>W12*H22</f>
        <v>11.021000000000001</v>
      </c>
      <c r="N12" s="5">
        <f>W13*I22</f>
        <v>0</v>
      </c>
      <c r="O12" s="5">
        <f>W14*I22</f>
        <v>4.2949214759141174</v>
      </c>
      <c r="T12" s="4" t="s">
        <v>21</v>
      </c>
      <c r="V12" s="1" t="s">
        <v>10</v>
      </c>
      <c r="W12" s="2">
        <v>2.14</v>
      </c>
    </row>
    <row r="13" spans="1:23" ht="15.75" x14ac:dyDescent="0.25">
      <c r="A13">
        <v>12</v>
      </c>
      <c r="B13">
        <v>79</v>
      </c>
      <c r="C13" s="5">
        <v>84</v>
      </c>
      <c r="D13" s="5">
        <v>81</v>
      </c>
      <c r="E13" s="5">
        <v>79</v>
      </c>
      <c r="F13" s="5">
        <v>87</v>
      </c>
      <c r="G13" s="5">
        <f t="shared" si="0"/>
        <v>82</v>
      </c>
      <c r="H13" s="5">
        <f t="shared" si="1"/>
        <v>8</v>
      </c>
      <c r="I13" s="5">
        <f t="shared" si="2"/>
        <v>3.4641016151377544</v>
      </c>
      <c r="J13" s="5">
        <f>G22-$W9*H22</f>
        <v>81.108450000000005</v>
      </c>
      <c r="K13" s="5">
        <f>G22+$W9*H22</f>
        <v>87.051549999999992</v>
      </c>
      <c r="L13" s="5">
        <f>W11*H22</f>
        <v>0</v>
      </c>
      <c r="M13" s="5">
        <f>W12*H22</f>
        <v>11.021000000000001</v>
      </c>
      <c r="N13" s="5">
        <f>W13*I22</f>
        <v>0</v>
      </c>
      <c r="O13" s="5">
        <f>W14*I22</f>
        <v>4.2949214759141174</v>
      </c>
      <c r="V13" s="1" t="s">
        <v>11</v>
      </c>
      <c r="W13" s="2">
        <v>0</v>
      </c>
    </row>
    <row r="14" spans="1:23" ht="15.75" x14ac:dyDescent="0.25">
      <c r="A14">
        <v>13</v>
      </c>
      <c r="B14">
        <v>85</v>
      </c>
      <c r="C14" s="5">
        <v>85</v>
      </c>
      <c r="D14" s="5">
        <v>82</v>
      </c>
      <c r="E14" s="5">
        <v>85</v>
      </c>
      <c r="F14" s="5">
        <v>85</v>
      </c>
      <c r="G14" s="5">
        <f t="shared" si="0"/>
        <v>84.4</v>
      </c>
      <c r="H14" s="5">
        <f t="shared" si="1"/>
        <v>3</v>
      </c>
      <c r="I14" s="5">
        <f t="shared" si="2"/>
        <v>1.3416407864998738</v>
      </c>
      <c r="J14" s="5">
        <f>G22-$W9*H22</f>
        <v>81.108450000000005</v>
      </c>
      <c r="K14" s="5">
        <f>G22+$W9*H22</f>
        <v>87.051549999999992</v>
      </c>
      <c r="L14" s="5">
        <f>W11*H22</f>
        <v>0</v>
      </c>
      <c r="M14" s="5">
        <f>W12*H22</f>
        <v>11.021000000000001</v>
      </c>
      <c r="N14" s="5">
        <f>W13*I22</f>
        <v>0</v>
      </c>
      <c r="O14" s="5">
        <f>W14*I22</f>
        <v>4.2949214759141174</v>
      </c>
      <c r="V14" s="1" t="s">
        <v>16</v>
      </c>
      <c r="W14" s="2">
        <v>2.089</v>
      </c>
    </row>
    <row r="15" spans="1:23" ht="15.75" x14ac:dyDescent="0.25">
      <c r="A15">
        <v>14</v>
      </c>
      <c r="B15">
        <v>85</v>
      </c>
      <c r="C15" s="5">
        <v>84</v>
      </c>
      <c r="D15" s="5">
        <v>88</v>
      </c>
      <c r="E15" s="5">
        <v>86</v>
      </c>
      <c r="F15" s="5">
        <v>83</v>
      </c>
      <c r="G15" s="5">
        <f t="shared" si="0"/>
        <v>85.2</v>
      </c>
      <c r="H15" s="5">
        <f t="shared" si="1"/>
        <v>5</v>
      </c>
      <c r="I15" s="5">
        <f t="shared" si="2"/>
        <v>1.9235384061671343</v>
      </c>
      <c r="J15" s="5">
        <f>G22-$W9*H22</f>
        <v>81.108450000000005</v>
      </c>
      <c r="K15" s="5">
        <f>G22+$W9*H22</f>
        <v>87.051549999999992</v>
      </c>
      <c r="L15" s="5">
        <f>W11*H22</f>
        <v>0</v>
      </c>
      <c r="M15" s="5">
        <f>W12*H22</f>
        <v>11.021000000000001</v>
      </c>
      <c r="N15" s="5">
        <f>W13*I22</f>
        <v>0</v>
      </c>
      <c r="O15" s="5">
        <f>W14*I22</f>
        <v>4.2949214759141174</v>
      </c>
    </row>
    <row r="16" spans="1:23" ht="15.75" x14ac:dyDescent="0.25">
      <c r="A16">
        <v>15</v>
      </c>
      <c r="B16">
        <v>88</v>
      </c>
      <c r="C16" s="5">
        <v>83</v>
      </c>
      <c r="D16" s="5">
        <v>80</v>
      </c>
      <c r="E16" s="5">
        <v>85</v>
      </c>
      <c r="F16" s="5">
        <v>88</v>
      </c>
      <c r="G16" s="5">
        <f t="shared" si="0"/>
        <v>84.8</v>
      </c>
      <c r="H16" s="5">
        <f t="shared" si="1"/>
        <v>8</v>
      </c>
      <c r="I16" s="5">
        <f t="shared" si="2"/>
        <v>3.4205262752974139</v>
      </c>
      <c r="J16" s="5">
        <f>G22-$W9*H22</f>
        <v>81.108450000000005</v>
      </c>
      <c r="K16" s="5">
        <f>G22+$W9*H22</f>
        <v>87.051549999999992</v>
      </c>
      <c r="L16" s="5">
        <f>W11*H22</f>
        <v>0</v>
      </c>
      <c r="M16" s="5">
        <f>W12*H22</f>
        <v>11.021000000000001</v>
      </c>
      <c r="N16" s="5">
        <f>W13*I22</f>
        <v>0</v>
      </c>
      <c r="O16" s="5">
        <f>W14*I22</f>
        <v>4.2949214759141174</v>
      </c>
    </row>
    <row r="17" spans="1:15" ht="15.75" x14ac:dyDescent="0.25">
      <c r="A17">
        <v>16</v>
      </c>
      <c r="B17">
        <v>82</v>
      </c>
      <c r="C17" s="5">
        <v>83</v>
      </c>
      <c r="D17" s="5">
        <v>85</v>
      </c>
      <c r="E17" s="5">
        <v>84</v>
      </c>
      <c r="F17" s="5">
        <v>85</v>
      </c>
      <c r="G17" s="5">
        <f t="shared" si="0"/>
        <v>83.8</v>
      </c>
      <c r="H17" s="5">
        <f t="shared" si="1"/>
        <v>3</v>
      </c>
      <c r="I17" s="5">
        <f t="shared" si="2"/>
        <v>1.3038404810405297</v>
      </c>
      <c r="J17" s="5">
        <f>G22-$W9*H22</f>
        <v>81.108450000000005</v>
      </c>
      <c r="K17" s="5">
        <f>G22+$W9*H22</f>
        <v>87.051549999999992</v>
      </c>
      <c r="L17" s="5">
        <f>W11*H22</f>
        <v>0</v>
      </c>
      <c r="M17" s="5">
        <f>W12*H22</f>
        <v>11.021000000000001</v>
      </c>
      <c r="N17" s="5">
        <f>W13*I22</f>
        <v>0</v>
      </c>
      <c r="O17" s="5">
        <f>W14*I22</f>
        <v>4.2949214759141174</v>
      </c>
    </row>
    <row r="18" spans="1:15" ht="15.75" x14ac:dyDescent="0.25">
      <c r="A18">
        <v>17</v>
      </c>
      <c r="B18">
        <v>83</v>
      </c>
      <c r="C18" s="5">
        <v>90</v>
      </c>
      <c r="D18" s="5">
        <v>87</v>
      </c>
      <c r="E18" s="5">
        <v>86</v>
      </c>
      <c r="F18" s="5">
        <v>84</v>
      </c>
      <c r="G18" s="5">
        <f t="shared" si="0"/>
        <v>86</v>
      </c>
      <c r="H18" s="5">
        <f t="shared" si="1"/>
        <v>7</v>
      </c>
      <c r="I18" s="5">
        <f t="shared" si="2"/>
        <v>2.7386127875258306</v>
      </c>
      <c r="J18" s="5">
        <f>G22-$W9*H22</f>
        <v>81.108450000000005</v>
      </c>
      <c r="K18" s="5">
        <f>G22+$W9*H22</f>
        <v>87.051549999999992</v>
      </c>
      <c r="L18" s="5">
        <f>W11*H22</f>
        <v>0</v>
      </c>
      <c r="M18" s="5">
        <f>W12*H22</f>
        <v>11.021000000000001</v>
      </c>
      <c r="N18" s="5">
        <f>W13*I22</f>
        <v>0</v>
      </c>
      <c r="O18" s="5">
        <f>W14*I22</f>
        <v>4.2949214759141174</v>
      </c>
    </row>
    <row r="19" spans="1:15" ht="15.75" x14ac:dyDescent="0.25">
      <c r="A19">
        <v>18</v>
      </c>
      <c r="B19">
        <v>84</v>
      </c>
      <c r="C19" s="5">
        <v>84</v>
      </c>
      <c r="D19" s="5">
        <v>82</v>
      </c>
      <c r="E19" s="5">
        <v>86</v>
      </c>
      <c r="F19" s="5">
        <v>83</v>
      </c>
      <c r="G19" s="5">
        <f t="shared" si="0"/>
        <v>83.8</v>
      </c>
      <c r="H19" s="5">
        <f t="shared" si="1"/>
        <v>4</v>
      </c>
      <c r="I19" s="5">
        <f t="shared" si="2"/>
        <v>1.4832396974191324</v>
      </c>
      <c r="J19" s="5">
        <f>G22-$W9*H22</f>
        <v>81.108450000000005</v>
      </c>
      <c r="K19" s="5">
        <f>G22+$W9*H22</f>
        <v>87.051549999999992</v>
      </c>
      <c r="L19" s="5">
        <f>W11*H22</f>
        <v>0</v>
      </c>
      <c r="M19" s="5">
        <f>W12*H22</f>
        <v>11.021000000000001</v>
      </c>
      <c r="N19" s="5">
        <f>W13*I22</f>
        <v>0</v>
      </c>
      <c r="O19" s="5">
        <f>W14*I22</f>
        <v>4.2949214759141174</v>
      </c>
    </row>
    <row r="20" spans="1:15" ht="15.75" x14ac:dyDescent="0.25">
      <c r="A20">
        <v>19</v>
      </c>
      <c r="B20">
        <v>81</v>
      </c>
      <c r="C20" s="5">
        <v>82</v>
      </c>
      <c r="D20" s="5">
        <v>85</v>
      </c>
      <c r="E20" s="5">
        <v>80</v>
      </c>
      <c r="F20" s="5">
        <v>80</v>
      </c>
      <c r="G20" s="5">
        <f t="shared" si="0"/>
        <v>81.599999999999994</v>
      </c>
      <c r="H20" s="5">
        <f t="shared" si="1"/>
        <v>5</v>
      </c>
      <c r="I20" s="5">
        <f t="shared" si="2"/>
        <v>2.0736441353327719</v>
      </c>
      <c r="J20" s="5">
        <f>G22-$W9*H22</f>
        <v>81.108450000000005</v>
      </c>
      <c r="K20" s="5">
        <f>G22+$W9*H22</f>
        <v>87.051549999999992</v>
      </c>
      <c r="L20" s="5">
        <f>W11*H22</f>
        <v>0</v>
      </c>
      <c r="M20" s="5">
        <f>W12*H22</f>
        <v>11.021000000000001</v>
      </c>
      <c r="N20" s="5">
        <f>W13*I22</f>
        <v>0</v>
      </c>
      <c r="O20" s="5">
        <f>W14*I22</f>
        <v>4.2949214759141174</v>
      </c>
    </row>
    <row r="21" spans="1:15" ht="15.75" x14ac:dyDescent="0.25">
      <c r="A21">
        <v>20</v>
      </c>
      <c r="B21">
        <v>84</v>
      </c>
      <c r="C21" s="5">
        <v>86</v>
      </c>
      <c r="D21" s="5">
        <v>85</v>
      </c>
      <c r="E21" s="5">
        <v>85</v>
      </c>
      <c r="F21" s="5">
        <v>87</v>
      </c>
      <c r="G21" s="5">
        <f t="shared" si="0"/>
        <v>85.4</v>
      </c>
      <c r="H21" s="5">
        <f t="shared" si="1"/>
        <v>3</v>
      </c>
      <c r="I21" s="5">
        <f t="shared" si="2"/>
        <v>1.1401754250991381</v>
      </c>
      <c r="J21" s="5">
        <f>G22-$W9*H22</f>
        <v>81.108450000000005</v>
      </c>
      <c r="K21" s="5">
        <f>G22+$W9*H22</f>
        <v>87.051549999999992</v>
      </c>
      <c r="L21" s="5">
        <f>W11*H22</f>
        <v>0</v>
      </c>
      <c r="M21" s="5">
        <f>W12*H22</f>
        <v>11.021000000000001</v>
      </c>
      <c r="N21" s="5">
        <f>W13*I22</f>
        <v>0</v>
      </c>
      <c r="O21" s="5">
        <f>W14*I22</f>
        <v>4.2949214759141174</v>
      </c>
    </row>
    <row r="22" spans="1:15" ht="15.75" x14ac:dyDescent="0.25">
      <c r="C22" s="3"/>
      <c r="D22" s="3"/>
      <c r="E22" s="3"/>
      <c r="F22" s="6" t="s">
        <v>18</v>
      </c>
      <c r="G22" s="6">
        <f>AVERAGE(G2:G21)</f>
        <v>84.08</v>
      </c>
      <c r="H22" s="6">
        <f>AVERAGE(H2:H21)</f>
        <v>5.15</v>
      </c>
      <c r="I22" s="6">
        <f>AVERAGE(I2:I21)</f>
        <v>2.0559700698487875</v>
      </c>
      <c r="J22" s="6">
        <f>G22-$W9*H22</f>
        <v>81.108450000000005</v>
      </c>
      <c r="K22" s="6">
        <f>G22+$W9*H22</f>
        <v>87.051549999999992</v>
      </c>
      <c r="L22" s="6">
        <f>W11*H22</f>
        <v>0</v>
      </c>
      <c r="M22" s="6">
        <f>W12*H22</f>
        <v>11.021000000000001</v>
      </c>
      <c r="N22" s="6">
        <f>W13*I22</f>
        <v>0</v>
      </c>
      <c r="O22" s="6">
        <f>W14*I22</f>
        <v>4.2949214759141174</v>
      </c>
    </row>
    <row r="24" spans="1:15" x14ac:dyDescent="0.25">
      <c r="C24" s="1"/>
      <c r="D24" s="2"/>
    </row>
    <row r="25" spans="1:15" x14ac:dyDescent="0.25">
      <c r="C25" s="1"/>
      <c r="D25" s="2"/>
    </row>
    <row r="26" spans="1:15" x14ac:dyDescent="0.25">
      <c r="C26" s="1"/>
      <c r="D26" s="2"/>
    </row>
    <row r="27" spans="1:15" x14ac:dyDescent="0.25">
      <c r="C27" s="1"/>
      <c r="D27" s="2"/>
    </row>
    <row r="28" spans="1:15" x14ac:dyDescent="0.25">
      <c r="C28" s="1"/>
      <c r="D28" s="2"/>
    </row>
    <row r="29" spans="1:15" x14ac:dyDescent="0.25">
      <c r="C29" s="1"/>
      <c r="D29" s="2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dcterms:created xsi:type="dcterms:W3CDTF">2020-06-09T05:51:51Z</dcterms:created>
  <dcterms:modified xsi:type="dcterms:W3CDTF">2020-06-10T04:13:10Z</dcterms:modified>
</cp:coreProperties>
</file>